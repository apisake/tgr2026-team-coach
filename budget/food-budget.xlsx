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มมติฐาน" sheetId="1" state="visible" r:id="rId1"/>
    <sheet xmlns:r="http://schemas.openxmlformats.org/officeDocument/2006/relationships" name="งบประมาณ" sheetId="2" state="visible" r:id="rId2"/>
    <sheet xmlns:r="http://schemas.openxmlformats.org/officeDocument/2006/relationships" name="จำนวนเงินที่เป็นไปได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;(0.0%);&quot;-&quot;"/>
  </numFmts>
  <fonts count="7">
    <font>
      <name val="Calibri"/>
      <family val="2"/>
      <color theme="1"/>
      <sz val="11"/>
      <scheme val="minor"/>
    </font>
    <font>
      <name val="Tahoma"/>
      <b val="1"/>
      <color rgb="00000000"/>
      <sz val="13"/>
    </font>
    <font>
      <name val="Tahoma"/>
      <b val="1"/>
      <color rgb="00000000"/>
      <sz val="10"/>
    </font>
    <font>
      <name val="Tahoma"/>
      <color rgb="00000000"/>
      <sz val="10"/>
    </font>
    <font>
      <name val="Tahoma"/>
      <color rgb="000000FF"/>
      <sz val="10"/>
    </font>
    <font>
      <name val="Tahoma"/>
      <color rgb="00008000"/>
      <sz val="10"/>
    </font>
    <font>
      <name val="Tahoma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164" fontId="4" fillId="3" borderId="1" pivotButton="0" quotePrefix="0" xfId="0"/>
    <xf numFmtId="164" fontId="3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5" fillId="0" borderId="1" pivotButton="0" quotePrefix="0" xfId="0"/>
    <xf numFmtId="164" fontId="3" fillId="3" borderId="1" pivotButton="0" quotePrefix="0" xfId="0"/>
    <xf numFmtId="164" fontId="2" fillId="4" borderId="1" pivotButton="0" quotePrefix="0" xfId="0"/>
    <xf numFmtId="165" fontId="2" fillId="4" borderId="1" pivotButton="0" quotePrefix="0" xfId="0"/>
    <xf numFmtId="0" fontId="2" fillId="2" borderId="1" applyAlignment="1" pivotButton="0" quotePrefix="0" xfId="0">
      <alignment horizontal="center" wrapText="1"/>
    </xf>
    <xf numFmtId="0" fontId="6" fillId="0" borderId="0" pivotButton="0" quotePrefix="0" xfId="0"/>
    <xf numFmtId="0" fontId="2" fillId="2" borderId="1" applyAlignment="1" pivotButton="0" quotePrefix="0" xfId="0">
      <alignment horizontal="center"/>
    </xf>
    <xf numFmtId="1" fontId="2" fillId="4" borderId="1" applyAlignment="1" pivotButton="0" quotePrefix="0" xfId="0">
      <alignment horizontal="center"/>
    </xf>
    <xf numFmtId="1" fontId="4" fillId="0" borderId="1" applyAlignment="1" pivotButton="0" quotePrefix="0" xfId="0">
      <alignment horizont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budget</author>
  </authors>
  <commentList>
    <comment ref="B3" authorId="0" shapeId="0">
      <text>
        <t>ตัวเลขจากผู้ใช้: นักศึกษา 15 คน</t>
      </text>
    </comment>
    <comment ref="B4" authorId="0" shapeId="0">
      <text>
        <t>ตัวเลขจากผู้ใช้: อาจารย์ 3 คน</t>
      </text>
    </comment>
    <comment ref="B12" authorId="0" shapeId="0">
      <text>
        <t>ราคาที่ทำได้จริง จากผู้ใช้</t>
      </text>
    </comment>
  </commentList>
</comments>
</file>

<file path=xl/comments/comment2.xml><?xml version="1.0" encoding="utf-8"?>
<comments xmlns="http://schemas.openxmlformats.org/spreadsheetml/2006/main">
  <authors>
    <author>budget</author>
  </authors>
  <commentList>
    <comment ref="G3" authorId="0" shapeId="0">
      <text>
        <t>กรอกจำนวนคนที่กินจริงของแต่ละมื้อ ค่าเริ่มต้นเท่ากับจำนวนที่ตั้งงบ</t>
      </text>
    </comment>
  </commentList>
</comments>
</file>

<file path=xl/comments/comment3.xml><?xml version="1.0" encoding="utf-8"?>
<comments xmlns="http://schemas.openxmlformats.org/spreadsheetml/2006/main">
  <authors>
    <author>budget</author>
  </authors>
  <commentList>
    <comment ref="G36" authorId="0" shapeId="0">
      <text>
        <t>นับตั้งแต่ 0 ถึงงบเต็ม ทีละ 50 บาท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</cols>
  <sheetData>
    <row r="1">
      <c r="A1" s="1" t="inlineStr">
        <is>
          <t>สมมติฐานงบประมาณค่าอาหาร ทีม TGR2026</t>
        </is>
      </c>
    </row>
    <row r="2">
      <c r="A2" s="2" t="inlineStr">
        <is>
          <t>รายการ</t>
        </is>
      </c>
      <c r="B2" s="2" t="inlineStr">
        <is>
          <t>ค่า</t>
        </is>
      </c>
      <c r="C2" s="2" t="inlineStr">
        <is>
          <t>หน่วย</t>
        </is>
      </c>
    </row>
    <row r="3">
      <c r="A3" s="3" t="inlineStr">
        <is>
          <t>จำนวนนักศึกษา</t>
        </is>
      </c>
      <c r="B3" s="4" t="n">
        <v>15</v>
      </c>
      <c r="C3" s="3" t="inlineStr">
        <is>
          <t>คน</t>
        </is>
      </c>
    </row>
    <row r="4">
      <c r="A4" s="3" t="inlineStr">
        <is>
          <t>จำนวนอาจารย์</t>
        </is>
      </c>
      <c r="B4" s="4" t="n">
        <v>3</v>
      </c>
      <c r="C4" s="3" t="inlineStr">
        <is>
          <t>คน</t>
        </is>
      </c>
    </row>
    <row r="5">
      <c r="A5" s="3" t="inlineStr">
        <is>
          <t>จำนวนคนรวม</t>
        </is>
      </c>
      <c r="B5" s="5">
        <f>B3+B4</f>
        <v/>
      </c>
      <c r="C5" s="3" t="inlineStr">
        <is>
          <t>คน</t>
        </is>
      </c>
    </row>
    <row r="6">
      <c r="A6" s="3" t="inlineStr">
        <is>
          <t>อาหารว่าง: จำนวนมื้อต่อวัน</t>
        </is>
      </c>
      <c r="B6" s="4" t="n">
        <v>2</v>
      </c>
      <c r="C6" s="3" t="inlineStr">
        <is>
          <t>มื้อ/วัน</t>
        </is>
      </c>
    </row>
    <row r="7">
      <c r="A7" s="3" t="inlineStr">
        <is>
          <t>อาหารว่าง: ราคาต่อคนต่อมื้อ</t>
        </is>
      </c>
      <c r="B7" s="4" t="n">
        <v>50</v>
      </c>
      <c r="C7" s="3" t="inlineStr">
        <is>
          <t>บาท</t>
        </is>
      </c>
    </row>
    <row r="8">
      <c r="A8" s="3" t="inlineStr">
        <is>
          <t>อาหารกลางวัน: จำนวนมื้อต่อวัน</t>
        </is>
      </c>
      <c r="B8" s="4" t="n">
        <v>1</v>
      </c>
      <c r="C8" s="3" t="inlineStr">
        <is>
          <t>มื้อ/วัน</t>
        </is>
      </c>
    </row>
    <row r="9">
      <c r="A9" s="3" t="inlineStr">
        <is>
          <t>อาหารกลางวัน: ราคาต่อคนต่อมื้อ</t>
        </is>
      </c>
      <c r="B9" s="4" t="n">
        <v>100</v>
      </c>
      <c r="C9" s="3" t="inlineStr">
        <is>
          <t>บาท</t>
        </is>
      </c>
    </row>
    <row r="10">
      <c r="A10" s="3" t="inlineStr">
        <is>
          <t>อาหารเย็น: ราคาต่อคนต่อมื้อ (เฉพาะ 24 ต.ค. 2569)</t>
        </is>
      </c>
      <c r="B10" s="4" t="n">
        <v>100</v>
      </c>
      <c r="C10" s="3" t="inlineStr">
        <is>
          <t>บาท</t>
        </is>
      </c>
    </row>
    <row r="11">
      <c r="A11" s="3" t="inlineStr">
        <is>
          <t>จำนวนวันจัดเลี้ยง</t>
        </is>
      </c>
      <c r="B11" s="4" t="n">
        <v>4</v>
      </c>
      <c r="C11" s="3" t="inlineStr">
        <is>
          <t>วัน</t>
        </is>
      </c>
    </row>
    <row r="12">
      <c r="A12" s="3" t="inlineStr">
        <is>
          <t>ราคาจริง: อาหารว่างต่อคนต่อมื้อ</t>
        </is>
      </c>
      <c r="B12" s="4" t="n">
        <v>40</v>
      </c>
      <c r="C12" s="3" t="inlineStr">
        <is>
          <t>บาท</t>
        </is>
      </c>
    </row>
    <row r="13">
      <c r="A13" s="3" t="inlineStr">
        <is>
          <t>ราคาจริง: อาหารกลางวันต่อคนต่อมื้อ</t>
        </is>
      </c>
      <c r="B13" s="4" t="n">
        <v>55</v>
      </c>
      <c r="C13" s="3" t="inlineStr">
        <is>
          <t>บาท</t>
        </is>
      </c>
    </row>
    <row r="14">
      <c r="A14" s="3" t="inlineStr">
        <is>
          <t>ราคาจริง: อาหารเย็นต่อคนต่อมื้อ</t>
        </is>
      </c>
      <c r="B14" s="4" t="n">
        <v>55</v>
      </c>
      <c r="C14" s="3" t="inlineStr">
        <is>
          <t>บาท</t>
        </is>
      </c>
    </row>
    <row r="17">
      <c r="A17" s="6" t="inlineStr">
        <is>
          <t>วิธีใช้</t>
        </is>
      </c>
    </row>
    <row r="18">
      <c r="A18" s="7" t="inlineStr">
        <is>
          <t>• ตัวเลขทั้งหมดในชีตนี้มาจากโจทย์ที่ผู้ใช้กำหนด</t>
        </is>
      </c>
    </row>
    <row r="19">
      <c r="A19" s="7" t="inlineStr">
        <is>
          <t>• ช่องสีเหลืองตัวอักษรสีน้ำเงิน = ค่าที่แก้ได้ ทุกชีตจะคำนวณใหม่อัตโนมัติ</t>
        </is>
      </c>
    </row>
    <row r="20">
      <c r="A20" s="7" t="inlineStr">
        <is>
          <t>• วันจัดเลี้ยง: 23, 24, 25 ต.ค. 2569 และ 1 พ.ย. 2569 (อาหารว่าง 2 มื้อ + กลางวัน ทุกวัน)</t>
        </is>
      </c>
    </row>
    <row r="21">
      <c r="A21" s="7" t="inlineStr">
        <is>
          <t>• อาหารเย็นมีเพียงวันเดียว คือ 24 ต.ค. 2569</t>
        </is>
      </c>
    </row>
    <row r="22">
      <c r="A22" s="7" t="inlineStr">
        <is>
          <t>• ราคาจริง (แถว 12-14) ใช้คำนวณยอดจ่ายจริง แยกจากราคาตั้งงบ</t>
        </is>
      </c>
    </row>
    <row r="23">
      <c r="A23" s="7" t="inlineStr">
        <is>
          <t>• ชีต 'งบประมาณ': กรอกจำนวนคนที่กินจริงในช่องสีเหลือง เพื่อดูยอดจ่ายจริงและส่วนต่าง</t>
        </is>
      </c>
    </row>
    <row r="24">
      <c r="A24" s="7" t="inlineStr">
        <is>
          <t>• ชีต 'จำนวนเงินที่เป็นไปได้': ยอดเงินทุกกรณีตามจำนวนคน 0-18 คน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15" customWidth="1" min="7" max="7"/>
    <col width="15" customWidth="1" min="8" max="8"/>
    <col width="16" customWidth="1" min="9" max="9"/>
  </cols>
  <sheetData>
    <row r="1">
      <c r="A1" s="1" t="inlineStr">
        <is>
          <t>งบประมาณค่าอาหาร เทียบกับยอดจ่ายจริง</t>
        </is>
      </c>
    </row>
    <row r="2" ht="32" customHeight="1">
      <c r="A2" s="8" t="inlineStr">
        <is>
          <t>วันที่</t>
        </is>
      </c>
      <c r="B2" s="8" t="inlineStr">
        <is>
          <t>มื้อ</t>
        </is>
      </c>
      <c r="C2" s="8" t="inlineStr">
        <is>
          <t>ราคาตั้งงบ/คน (บาท)</t>
        </is>
      </c>
      <c r="D2" s="8" t="inlineStr">
        <is>
          <t>จำนวนคน (ตั้งงบ)</t>
        </is>
      </c>
      <c r="E2" s="8" t="inlineStr">
        <is>
          <t>งบประมาณ (บาท)</t>
        </is>
      </c>
      <c r="F2" s="8" t="inlineStr">
        <is>
          <t>ราคาจริง/คน (บาท)</t>
        </is>
      </c>
      <c r="G2" s="8" t="inlineStr">
        <is>
          <t>จำนวนคน (จริง)</t>
        </is>
      </c>
      <c r="H2" s="8" t="inlineStr">
        <is>
          <t>จ่ายจริง (บาท)</t>
        </is>
      </c>
      <c r="I2" s="8" t="inlineStr">
        <is>
          <t>ส่วนต่าง (บาท)
งบ − จริง</t>
        </is>
      </c>
    </row>
    <row r="3">
      <c r="A3" s="5" t="inlineStr">
        <is>
          <t>23 ต.ค. 2569</t>
        </is>
      </c>
      <c r="B3" s="5" t="inlineStr">
        <is>
          <t>อาหารว่างเช้า</t>
        </is>
      </c>
      <c r="C3" s="9">
        <f>สมมติฐาน!$B$7</f>
        <v/>
      </c>
      <c r="D3" s="9">
        <f>สมมติฐาน!$B$5</f>
        <v/>
      </c>
      <c r="E3" s="5">
        <f>C3*D3</f>
        <v/>
      </c>
      <c r="F3" s="9">
        <f>สมมติฐาน!$B$12</f>
        <v/>
      </c>
      <c r="G3" s="10">
        <f>D3</f>
        <v/>
      </c>
      <c r="H3" s="5">
        <f>F3*G3</f>
        <v/>
      </c>
      <c r="I3" s="5">
        <f>E3-H3</f>
        <v/>
      </c>
    </row>
    <row r="4">
      <c r="A4" s="5" t="inlineStr">
        <is>
          <t>23 ต.ค. 2569</t>
        </is>
      </c>
      <c r="B4" s="5" t="inlineStr">
        <is>
          <t>อาหารกลางวัน</t>
        </is>
      </c>
      <c r="C4" s="9">
        <f>สมมติฐาน!$B$9</f>
        <v/>
      </c>
      <c r="D4" s="9">
        <f>สมมติฐาน!$B$5</f>
        <v/>
      </c>
      <c r="E4" s="5">
        <f>C4*D4</f>
        <v/>
      </c>
      <c r="F4" s="9">
        <f>สมมติฐาน!$B$13</f>
        <v/>
      </c>
      <c r="G4" s="10">
        <f>D4</f>
        <v/>
      </c>
      <c r="H4" s="5">
        <f>F4*G4</f>
        <v/>
      </c>
      <c r="I4" s="5">
        <f>E4-H4</f>
        <v/>
      </c>
    </row>
    <row r="5">
      <c r="A5" s="5" t="inlineStr">
        <is>
          <t>23 ต.ค. 2569</t>
        </is>
      </c>
      <c r="B5" s="5" t="inlineStr">
        <is>
          <t>อาหารว่างบ่าย</t>
        </is>
      </c>
      <c r="C5" s="9">
        <f>สมมติฐาน!$B$7</f>
        <v/>
      </c>
      <c r="D5" s="9">
        <f>สมมติฐาน!$B$5</f>
        <v/>
      </c>
      <c r="E5" s="5">
        <f>C5*D5</f>
        <v/>
      </c>
      <c r="F5" s="9">
        <f>สมมติฐาน!$B$12</f>
        <v/>
      </c>
      <c r="G5" s="10">
        <f>D5</f>
        <v/>
      </c>
      <c r="H5" s="5">
        <f>F5*G5</f>
        <v/>
      </c>
      <c r="I5" s="5">
        <f>E5-H5</f>
        <v/>
      </c>
    </row>
    <row r="6">
      <c r="A6" s="5" t="inlineStr">
        <is>
          <t>24 ต.ค. 2569</t>
        </is>
      </c>
      <c r="B6" s="5" t="inlineStr">
        <is>
          <t>อาหารว่างเช้า</t>
        </is>
      </c>
      <c r="C6" s="9">
        <f>สมมติฐาน!$B$7</f>
        <v/>
      </c>
      <c r="D6" s="9">
        <f>สมมติฐาน!$B$5</f>
        <v/>
      </c>
      <c r="E6" s="5">
        <f>C6*D6</f>
        <v/>
      </c>
      <c r="F6" s="9">
        <f>สมมติฐาน!$B$12</f>
        <v/>
      </c>
      <c r="G6" s="10">
        <f>D6</f>
        <v/>
      </c>
      <c r="H6" s="5">
        <f>F6*G6</f>
        <v/>
      </c>
      <c r="I6" s="5">
        <f>E6-H6</f>
        <v/>
      </c>
    </row>
    <row r="7">
      <c r="A7" s="5" t="inlineStr">
        <is>
          <t>24 ต.ค. 2569</t>
        </is>
      </c>
      <c r="B7" s="5" t="inlineStr">
        <is>
          <t>อาหารกลางวัน</t>
        </is>
      </c>
      <c r="C7" s="9">
        <f>สมมติฐาน!$B$9</f>
        <v/>
      </c>
      <c r="D7" s="9">
        <f>สมมติฐาน!$B$5</f>
        <v/>
      </c>
      <c r="E7" s="5">
        <f>C7*D7</f>
        <v/>
      </c>
      <c r="F7" s="9">
        <f>สมมติฐาน!$B$13</f>
        <v/>
      </c>
      <c r="G7" s="10">
        <f>D7</f>
        <v/>
      </c>
      <c r="H7" s="5">
        <f>F7*G7</f>
        <v/>
      </c>
      <c r="I7" s="5">
        <f>E7-H7</f>
        <v/>
      </c>
    </row>
    <row r="8">
      <c r="A8" s="5" t="inlineStr">
        <is>
          <t>24 ต.ค. 2569</t>
        </is>
      </c>
      <c r="B8" s="5" t="inlineStr">
        <is>
          <t>อาหารว่างบ่าย</t>
        </is>
      </c>
      <c r="C8" s="9">
        <f>สมมติฐาน!$B$7</f>
        <v/>
      </c>
      <c r="D8" s="9">
        <f>สมมติฐาน!$B$5</f>
        <v/>
      </c>
      <c r="E8" s="5">
        <f>C8*D8</f>
        <v/>
      </c>
      <c r="F8" s="9">
        <f>สมมติฐาน!$B$12</f>
        <v/>
      </c>
      <c r="G8" s="10">
        <f>D8</f>
        <v/>
      </c>
      <c r="H8" s="5">
        <f>F8*G8</f>
        <v/>
      </c>
      <c r="I8" s="5">
        <f>E8-H8</f>
        <v/>
      </c>
    </row>
    <row r="9">
      <c r="A9" s="5" t="inlineStr">
        <is>
          <t>24 ต.ค. 2569</t>
        </is>
      </c>
      <c r="B9" s="5" t="inlineStr">
        <is>
          <t>อาหารเย็น</t>
        </is>
      </c>
      <c r="C9" s="9">
        <f>สมมติฐาน!$B$10</f>
        <v/>
      </c>
      <c r="D9" s="9">
        <f>สมมติฐาน!$B$5</f>
        <v/>
      </c>
      <c r="E9" s="5">
        <f>C9*D9</f>
        <v/>
      </c>
      <c r="F9" s="9">
        <f>สมมติฐาน!$B$14</f>
        <v/>
      </c>
      <c r="G9" s="10">
        <f>D9</f>
        <v/>
      </c>
      <c r="H9" s="5">
        <f>F9*G9</f>
        <v/>
      </c>
      <c r="I9" s="5">
        <f>E9-H9</f>
        <v/>
      </c>
    </row>
    <row r="10">
      <c r="A10" s="5" t="inlineStr">
        <is>
          <t>25 ต.ค. 2569</t>
        </is>
      </c>
      <c r="B10" s="5" t="inlineStr">
        <is>
          <t>อาหารว่างเช้า</t>
        </is>
      </c>
      <c r="C10" s="9">
        <f>สมมติฐาน!$B$7</f>
        <v/>
      </c>
      <c r="D10" s="9">
        <f>สมมติฐาน!$B$5</f>
        <v/>
      </c>
      <c r="E10" s="5">
        <f>C10*D10</f>
        <v/>
      </c>
      <c r="F10" s="9">
        <f>สมมติฐาน!$B$12</f>
        <v/>
      </c>
      <c r="G10" s="10">
        <f>D10</f>
        <v/>
      </c>
      <c r="H10" s="5">
        <f>F10*G10</f>
        <v/>
      </c>
      <c r="I10" s="5">
        <f>E10-H10</f>
        <v/>
      </c>
    </row>
    <row r="11">
      <c r="A11" s="5" t="inlineStr">
        <is>
          <t>25 ต.ค. 2569</t>
        </is>
      </c>
      <c r="B11" s="5" t="inlineStr">
        <is>
          <t>อาหารกลางวัน</t>
        </is>
      </c>
      <c r="C11" s="9">
        <f>สมมติฐาน!$B$9</f>
        <v/>
      </c>
      <c r="D11" s="9">
        <f>สมมติฐาน!$B$5</f>
        <v/>
      </c>
      <c r="E11" s="5">
        <f>C11*D11</f>
        <v/>
      </c>
      <c r="F11" s="9">
        <f>สมมติฐาน!$B$13</f>
        <v/>
      </c>
      <c r="G11" s="10">
        <f>D11</f>
        <v/>
      </c>
      <c r="H11" s="5">
        <f>F11*G11</f>
        <v/>
      </c>
      <c r="I11" s="5">
        <f>E11-H11</f>
        <v/>
      </c>
    </row>
    <row r="12">
      <c r="A12" s="5" t="inlineStr">
        <is>
          <t>25 ต.ค. 2569</t>
        </is>
      </c>
      <c r="B12" s="5" t="inlineStr">
        <is>
          <t>อาหารว่างบ่าย</t>
        </is>
      </c>
      <c r="C12" s="9">
        <f>สมมติฐาน!$B$7</f>
        <v/>
      </c>
      <c r="D12" s="9">
        <f>สมมติฐาน!$B$5</f>
        <v/>
      </c>
      <c r="E12" s="5">
        <f>C12*D12</f>
        <v/>
      </c>
      <c r="F12" s="9">
        <f>สมมติฐาน!$B$12</f>
        <v/>
      </c>
      <c r="G12" s="10">
        <f>D12</f>
        <v/>
      </c>
      <c r="H12" s="5">
        <f>F12*G12</f>
        <v/>
      </c>
      <c r="I12" s="5">
        <f>E12-H12</f>
        <v/>
      </c>
    </row>
    <row r="13">
      <c r="A13" s="5" t="inlineStr">
        <is>
          <t>1 พ.ย. 2569</t>
        </is>
      </c>
      <c r="B13" s="5" t="inlineStr">
        <is>
          <t>อาหารว่างเช้า</t>
        </is>
      </c>
      <c r="C13" s="9">
        <f>สมมติฐาน!$B$7</f>
        <v/>
      </c>
      <c r="D13" s="9">
        <f>สมมติฐาน!$B$5</f>
        <v/>
      </c>
      <c r="E13" s="5">
        <f>C13*D13</f>
        <v/>
      </c>
      <c r="F13" s="9">
        <f>สมมติฐาน!$B$12</f>
        <v/>
      </c>
      <c r="G13" s="10">
        <f>D13</f>
        <v/>
      </c>
      <c r="H13" s="5">
        <f>F13*G13</f>
        <v/>
      </c>
      <c r="I13" s="5">
        <f>E13-H13</f>
        <v/>
      </c>
    </row>
    <row r="14">
      <c r="A14" s="5" t="inlineStr">
        <is>
          <t>1 พ.ย. 2569</t>
        </is>
      </c>
      <c r="B14" s="5" t="inlineStr">
        <is>
          <t>อาหารกลางวัน</t>
        </is>
      </c>
      <c r="C14" s="9">
        <f>สมมติฐาน!$B$9</f>
        <v/>
      </c>
      <c r="D14" s="9">
        <f>สมมติฐาน!$B$5</f>
        <v/>
      </c>
      <c r="E14" s="5">
        <f>C14*D14</f>
        <v/>
      </c>
      <c r="F14" s="9">
        <f>สมมติฐาน!$B$13</f>
        <v/>
      </c>
      <c r="G14" s="10">
        <f>D14</f>
        <v/>
      </c>
      <c r="H14" s="5">
        <f>F14*G14</f>
        <v/>
      </c>
      <c r="I14" s="5">
        <f>E14-H14</f>
        <v/>
      </c>
    </row>
    <row r="15">
      <c r="A15" s="5" t="inlineStr">
        <is>
          <t>1 พ.ย. 2569</t>
        </is>
      </c>
      <c r="B15" s="5" t="inlineStr">
        <is>
          <t>อาหารว่างบ่าย</t>
        </is>
      </c>
      <c r="C15" s="9">
        <f>สมมติฐาน!$B$7</f>
        <v/>
      </c>
      <c r="D15" s="9">
        <f>สมมติฐาน!$B$5</f>
        <v/>
      </c>
      <c r="E15" s="5">
        <f>C15*D15</f>
        <v/>
      </c>
      <c r="F15" s="9">
        <f>สมมติฐาน!$B$12</f>
        <v/>
      </c>
      <c r="G15" s="10">
        <f>D15</f>
        <v/>
      </c>
      <c r="H15" s="5">
        <f>F15*G15</f>
        <v/>
      </c>
      <c r="I15" s="5">
        <f>E15-H15</f>
        <v/>
      </c>
    </row>
    <row r="16">
      <c r="A16" s="11" t="inlineStr">
        <is>
          <t>รวมทั้งหมด</t>
        </is>
      </c>
      <c r="B16" s="11" t="n"/>
      <c r="C16" s="11" t="n"/>
      <c r="D16" s="11">
        <f>SUM(D3:D15)</f>
        <v/>
      </c>
      <c r="E16" s="11">
        <f>SUM(E3:E15)</f>
        <v/>
      </c>
      <c r="F16" s="11" t="n"/>
      <c r="G16" s="11">
        <f>SUM(G3:G15)</f>
        <v/>
      </c>
      <c r="H16" s="11">
        <f>SUM(H3:H15)</f>
        <v/>
      </c>
      <c r="I16" s="11">
        <f>SUM(I3:I15)</f>
        <v/>
      </c>
    </row>
    <row r="17">
      <c r="A17" s="12" t="inlineStr">
        <is>
          <t>ส่วนต่างคิดเป็น % ของงบ</t>
        </is>
      </c>
      <c r="B17" s="12" t="n"/>
      <c r="C17" s="12" t="n"/>
      <c r="D17" s="12" t="n"/>
      <c r="E17" s="12" t="n"/>
      <c r="F17" s="12" t="n"/>
      <c r="G17" s="12" t="n"/>
      <c r="H17" s="12" t="n"/>
      <c r="I17" s="12">
        <f>IF(E16=0,0,I16/E16)</f>
        <v/>
      </c>
    </row>
    <row r="19">
      <c r="A19" s="6" t="inlineStr">
        <is>
          <t>สรุปตามประเภทอาหาร</t>
        </is>
      </c>
    </row>
    <row r="20">
      <c r="A20" s="13" t="inlineStr">
        <is>
          <t>ประเภท</t>
        </is>
      </c>
      <c r="B20" s="13" t="inlineStr">
        <is>
          <t>จำนวนมื้อ (คน-มื้อ)</t>
        </is>
      </c>
      <c r="C20" s="13" t="inlineStr">
        <is>
          <t>งบประมาณ (บาท)</t>
        </is>
      </c>
      <c r="D20" s="13" t="inlineStr">
        <is>
          <t>จ่ายจริง (บาท)</t>
        </is>
      </c>
      <c r="E20" s="13" t="inlineStr">
        <is>
          <t>ส่วนต่าง (บาท)</t>
        </is>
      </c>
    </row>
    <row r="21">
      <c r="A21" s="5" t="inlineStr">
        <is>
          <t>อาหารว่าง</t>
        </is>
      </c>
      <c r="B21" s="5">
        <f>SUMIF($B$3:$B$15,"อาหารว่าง*",$D$3:$D$15)</f>
        <v/>
      </c>
      <c r="C21" s="5">
        <f>SUMIF($B$3:$B$15,"อาหารว่าง*",$E$3:$E$15)</f>
        <v/>
      </c>
      <c r="D21" s="5">
        <f>SUMIF($B$3:$B$15,"อาหารว่าง*",$H$3:$H$15)</f>
        <v/>
      </c>
      <c r="E21" s="5">
        <f>C21-D21</f>
        <v/>
      </c>
    </row>
    <row r="22">
      <c r="A22" s="5" t="inlineStr">
        <is>
          <t>อาหารกลางวัน</t>
        </is>
      </c>
      <c r="B22" s="5">
        <f>SUMIF($B$3:$B$15,"อาหารกลางวัน",$D$3:$D$15)</f>
        <v/>
      </c>
      <c r="C22" s="5">
        <f>SUMIF($B$3:$B$15,"อาหารกลางวัน",$E$3:$E$15)</f>
        <v/>
      </c>
      <c r="D22" s="5">
        <f>SUMIF($B$3:$B$15,"อาหารกลางวัน",$H$3:$H$15)</f>
        <v/>
      </c>
      <c r="E22" s="5">
        <f>C22-D22</f>
        <v/>
      </c>
    </row>
    <row r="23">
      <c r="A23" s="5" t="inlineStr">
        <is>
          <t>อาหารเย็น</t>
        </is>
      </c>
      <c r="B23" s="5">
        <f>SUMIF($B$3:$B$15,"อาหารเย็น",$D$3:$D$15)</f>
        <v/>
      </c>
      <c r="C23" s="5">
        <f>SUMIF($B$3:$B$15,"อาหารเย็น",$E$3:$E$15)</f>
        <v/>
      </c>
      <c r="D23" s="5">
        <f>SUMIF($B$3:$B$15,"อาหารเย็น",$H$3:$H$15)</f>
        <v/>
      </c>
      <c r="E23" s="5">
        <f>C23-D23</f>
        <v/>
      </c>
    </row>
    <row r="24">
      <c r="A24" s="11" t="inlineStr">
        <is>
          <t>รวม</t>
        </is>
      </c>
      <c r="B24" s="11">
        <f>SUM(B21:B23)</f>
        <v/>
      </c>
      <c r="C24" s="11">
        <f>SUM(C21:C23)</f>
        <v/>
      </c>
      <c r="D24" s="11">
        <f>SUM(D21:D23)</f>
        <v/>
      </c>
      <c r="E24" s="11">
        <f>SUM(E21:E23)</f>
        <v/>
      </c>
    </row>
    <row r="26">
      <c r="A26" s="6" t="inlineStr">
        <is>
          <t>สรุปตามกลุ่ม</t>
        </is>
      </c>
    </row>
    <row r="27">
      <c r="A27" s="13" t="inlineStr">
        <is>
          <t>กลุ่ม</t>
        </is>
      </c>
      <c r="B27" s="13" t="inlineStr">
        <is>
          <t>จำนวนคน</t>
        </is>
      </c>
      <c r="C27" s="13" t="inlineStr">
        <is>
          <t>งบต่อคน (บาท)</t>
        </is>
      </c>
      <c r="D27" s="13" t="inlineStr">
        <is>
          <t>งบประมาณ (บาท)</t>
        </is>
      </c>
      <c r="E27" s="13" t="inlineStr">
        <is>
          <t>จ่ายจริงต่อคน (บาท)</t>
        </is>
      </c>
      <c r="F27" s="13" t="inlineStr">
        <is>
          <t>จ่ายจริง (บาท)</t>
        </is>
      </c>
      <c r="G27" s="13" t="inlineStr">
        <is>
          <t>ส่วนต่าง (บาท)</t>
        </is>
      </c>
    </row>
    <row r="28">
      <c r="A28" s="5" t="inlineStr">
        <is>
          <t>นักศึกษา</t>
        </is>
      </c>
      <c r="B28" s="9">
        <f>สมมติฐาน!B3</f>
        <v/>
      </c>
      <c r="C28" s="5">
        <f>IF(สมมติฐาน!$B$5=0,0,$E$16/สมมติฐาน!$B$5)</f>
        <v/>
      </c>
      <c r="D28" s="5">
        <f>B28*C28</f>
        <v/>
      </c>
      <c r="E28" s="5">
        <f>IF(สมมติฐาน!$B$5=0,0,$H$16/สมมติฐาน!$B$5)</f>
        <v/>
      </c>
      <c r="F28" s="5">
        <f>B28*E28</f>
        <v/>
      </c>
      <c r="G28" s="5">
        <f>D28-F28</f>
        <v/>
      </c>
    </row>
    <row r="29">
      <c r="A29" s="5" t="inlineStr">
        <is>
          <t>อาจารย์</t>
        </is>
      </c>
      <c r="B29" s="9">
        <f>สมมติฐาน!B4</f>
        <v/>
      </c>
      <c r="C29" s="5">
        <f>IF(สมมติฐาน!$B$5=0,0,$E$16/สมมติฐาน!$B$5)</f>
        <v/>
      </c>
      <c r="D29" s="5">
        <f>B29*C29</f>
        <v/>
      </c>
      <c r="E29" s="5">
        <f>IF(สมมติฐาน!$B$5=0,0,$H$16/สมมติฐาน!$B$5)</f>
        <v/>
      </c>
      <c r="F29" s="5">
        <f>B29*E29</f>
        <v/>
      </c>
      <c r="G29" s="5">
        <f>D29-F29</f>
        <v/>
      </c>
    </row>
    <row r="30">
      <c r="A30" s="11" t="inlineStr">
        <is>
          <t>รวม</t>
        </is>
      </c>
      <c r="B30" s="11">
        <f>SUM(B28:B29)</f>
        <v/>
      </c>
      <c r="C30" s="11" t="n"/>
      <c r="D30" s="11">
        <f>SUM(D28:D29)</f>
        <v/>
      </c>
      <c r="E30" s="11" t="n"/>
      <c r="F30" s="11">
        <f>SUM(F28:F29)</f>
        <v/>
      </c>
      <c r="G30" s="11">
        <f>SUM(G28:G29)</f>
        <v/>
      </c>
    </row>
    <row r="32">
      <c r="A32" s="14" t="inlineStr">
        <is>
          <t>ส่วนต่างเป็นบวก = ใช้จ่ายน้อยกว่างบ (เหลือ) | ส่วนต่างเป็นลบ (ในวงเล็บ) = ใช้เกินงบ</t>
        </is>
      </c>
    </row>
    <row r="33">
      <c r="A33" s="14" t="inlineStr">
        <is>
          <t>ช่องสีเหลือง = กรอกจำนวนคนที่กินจริง | ตัวเลขสีเขียว = ดึงมาจากชีต 'สมมติฐาน'</t>
        </is>
      </c>
    </row>
    <row r="34">
      <c r="A34" s="14" t="inlineStr">
        <is>
          <t>ราคาจริงจากผู้ใช้: อาหารว่าง 40 บาท อาหารกลางวัน 55 บาท อาหารเย็น 55 บาท ต่อคนต่อมื้อ</t>
        </is>
      </c>
    </row>
    <row r="35">
      <c r="A35" s="14" t="inlineStr">
        <is>
          <t>จ่ายจริงต่อคนของแต่ละกลุ่ม = ยอดจ่ายจริงรวม ÷ จำนวนคนทั้งหมด (เฉลี่ยเท่ากันทุกคน)</t>
        </is>
      </c>
    </row>
  </sheetData>
  <mergeCells count="2">
    <mergeCell ref="A16:C16"/>
    <mergeCell ref="A17:H17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6" customWidth="1" min="5" max="5"/>
    <col width="18" customWidth="1" min="6" max="6"/>
    <col width="18" customWidth="1" min="7" max="7"/>
    <col width="18" customWidth="1" min="8" max="8"/>
    <col width="14" customWidth="1" min="9" max="9"/>
    <col width="15" customWidth="1" min="10" max="10"/>
    <col width="14" customWidth="1" min="11" max="11"/>
    <col width="18" customWidth="1" min="12" max="12"/>
    <col width="18" customWidth="1" min="13" max="13"/>
  </cols>
  <sheetData>
    <row r="1">
      <c r="A1" s="1" t="inlineStr">
        <is>
          <t>จำนวนเงินที่เป็นไปได้ทั้งหมด ตามจำนวนคนที่มากินจริง</t>
        </is>
      </c>
    </row>
    <row r="2">
      <c r="A2" s="15" t="n"/>
      <c r="B2" s="15" t="inlineStr">
        <is>
          <t>ราคาตั้งงบ</t>
        </is>
      </c>
      <c r="C2" s="15" t="n"/>
      <c r="D2" s="15" t="n"/>
      <c r="E2" s="15" t="n"/>
      <c r="F2" s="15" t="n"/>
      <c r="G2" s="15" t="n"/>
      <c r="H2" s="15" t="n"/>
      <c r="I2" s="15" t="inlineStr">
        <is>
          <t>ราคาจริง</t>
        </is>
      </c>
      <c r="J2" s="15" t="n"/>
      <c r="K2" s="15" t="n"/>
      <c r="L2" s="15" t="n"/>
      <c r="M2" s="15" t="n"/>
    </row>
    <row r="3" ht="32" customHeight="1">
      <c r="A3" s="8" t="inlineStr">
        <is>
          <t>จำนวนคน</t>
        </is>
      </c>
      <c r="B3" s="8" t="inlineStr">
        <is>
          <t>อาหารว่าง 1 มื้อ</t>
        </is>
      </c>
      <c r="C3" s="8" t="inlineStr">
        <is>
          <t>อาหารกลางวัน 1 มื้อ</t>
        </is>
      </c>
      <c r="D3" s="8" t="inlineStr">
        <is>
          <t>อาหารเย็น 1 มื้อ</t>
        </is>
      </c>
      <c r="E3" s="8" t="inlineStr">
        <is>
          <t>ต่อวัน (ว่าง 2 + กลางวัน)</t>
        </is>
      </c>
      <c r="F3" s="8" t="inlineStr">
        <is>
          <t>วัน 24 ต.ค. (รวมอาหารเย็น)</t>
        </is>
      </c>
      <c r="G3" s="8" t="inlineStr">
        <is>
          <t>งบรวมทั้งโครงการ (บาท)</t>
        </is>
      </c>
      <c r="H3" s="8" t="inlineStr">
        <is>
          <t>ส่วนต่างจากงบเต็ม (บาท)</t>
        </is>
      </c>
      <c r="I3" s="8" t="inlineStr">
        <is>
          <t>อาหารว่าง 1 มื้อ</t>
        </is>
      </c>
      <c r="J3" s="8" t="inlineStr">
        <is>
          <t>อาหารกลางวัน 1 มื้อ</t>
        </is>
      </c>
      <c r="K3" s="8" t="inlineStr">
        <is>
          <t>อาหารเย็น 1 มื้อ</t>
        </is>
      </c>
      <c r="L3" s="8" t="inlineStr">
        <is>
          <t>จ่ายจริงทั้งโครงการ (บาท)</t>
        </is>
      </c>
      <c r="M3" s="8" t="inlineStr">
        <is>
          <t>ส่วนต่างจากงบเต็ม (บาท)</t>
        </is>
      </c>
    </row>
    <row r="4">
      <c r="A4" s="16" t="n">
        <v>18</v>
      </c>
      <c r="B4" s="11">
        <f>A4*สมมติฐาน!$B$7</f>
        <v/>
      </c>
      <c r="C4" s="11">
        <f>A4*สมมติฐาน!$B$9</f>
        <v/>
      </c>
      <c r="D4" s="11">
        <f>A4*สมมติฐาน!$B$10</f>
        <v/>
      </c>
      <c r="E4" s="11">
        <f>สมมติฐาน!$B$6*B4+สมมติฐาน!$B$8*C4</f>
        <v/>
      </c>
      <c r="F4" s="11">
        <f>E4+D4</f>
        <v/>
      </c>
      <c r="G4" s="11">
        <f>E4*สมมติฐาน!$B$11+D4</f>
        <v/>
      </c>
      <c r="H4" s="11">
        <f>$G$4-G4</f>
        <v/>
      </c>
      <c r="I4" s="11">
        <f>A4*สมมติฐาน!$B$12</f>
        <v/>
      </c>
      <c r="J4" s="11">
        <f>A4*สมมติฐาน!$B$13</f>
        <v/>
      </c>
      <c r="K4" s="11">
        <f>A4*สมมติฐาน!$B$14</f>
        <v/>
      </c>
      <c r="L4" s="11">
        <f>(สมมติฐาน!$B$6*I4+สมมติฐาน!$B$8*J4)*สมมติฐาน!$B$11+K4</f>
        <v/>
      </c>
      <c r="M4" s="11">
        <f>$G$4-L4</f>
        <v/>
      </c>
    </row>
    <row r="5">
      <c r="A5" s="17" t="n">
        <v>17</v>
      </c>
      <c r="B5" s="5">
        <f>A5*สมมติฐาน!$B$7</f>
        <v/>
      </c>
      <c r="C5" s="5">
        <f>A5*สมมติฐาน!$B$9</f>
        <v/>
      </c>
      <c r="D5" s="5">
        <f>A5*สมมติฐาน!$B$10</f>
        <v/>
      </c>
      <c r="E5" s="5">
        <f>สมมติฐาน!$B$6*B5+สมมติฐาน!$B$8*C5</f>
        <v/>
      </c>
      <c r="F5" s="5">
        <f>E5+D5</f>
        <v/>
      </c>
      <c r="G5" s="5">
        <f>E5*สมมติฐาน!$B$11+D5</f>
        <v/>
      </c>
      <c r="H5" s="5">
        <f>$G$4-G5</f>
        <v/>
      </c>
      <c r="I5" s="5">
        <f>A5*สมมติฐาน!$B$12</f>
        <v/>
      </c>
      <c r="J5" s="5">
        <f>A5*สมมติฐาน!$B$13</f>
        <v/>
      </c>
      <c r="K5" s="5">
        <f>A5*สมมติฐาน!$B$14</f>
        <v/>
      </c>
      <c r="L5" s="5">
        <f>(สมมติฐาน!$B$6*I5+สมมติฐาน!$B$8*J5)*สมมติฐาน!$B$11+K5</f>
        <v/>
      </c>
      <c r="M5" s="5">
        <f>$G$4-L5</f>
        <v/>
      </c>
    </row>
    <row r="6">
      <c r="A6" s="17" t="n">
        <v>16</v>
      </c>
      <c r="B6" s="5">
        <f>A6*สมมติฐาน!$B$7</f>
        <v/>
      </c>
      <c r="C6" s="5">
        <f>A6*สมมติฐาน!$B$9</f>
        <v/>
      </c>
      <c r="D6" s="5">
        <f>A6*สมมติฐาน!$B$10</f>
        <v/>
      </c>
      <c r="E6" s="5">
        <f>สมมติฐาน!$B$6*B6+สมมติฐาน!$B$8*C6</f>
        <v/>
      </c>
      <c r="F6" s="5">
        <f>E6+D6</f>
        <v/>
      </c>
      <c r="G6" s="5">
        <f>E6*สมมติฐาน!$B$11+D6</f>
        <v/>
      </c>
      <c r="H6" s="5">
        <f>$G$4-G6</f>
        <v/>
      </c>
      <c r="I6" s="5">
        <f>A6*สมมติฐาน!$B$12</f>
        <v/>
      </c>
      <c r="J6" s="5">
        <f>A6*สมมติฐาน!$B$13</f>
        <v/>
      </c>
      <c r="K6" s="5">
        <f>A6*สมมติฐาน!$B$14</f>
        <v/>
      </c>
      <c r="L6" s="5">
        <f>(สมมติฐาน!$B$6*I6+สมมติฐาน!$B$8*J6)*สมมติฐาน!$B$11+K6</f>
        <v/>
      </c>
      <c r="M6" s="5">
        <f>$G$4-L6</f>
        <v/>
      </c>
    </row>
    <row r="7">
      <c r="A7" s="17" t="n">
        <v>15</v>
      </c>
      <c r="B7" s="5">
        <f>A7*สมมติฐาน!$B$7</f>
        <v/>
      </c>
      <c r="C7" s="5">
        <f>A7*สมมติฐาน!$B$9</f>
        <v/>
      </c>
      <c r="D7" s="5">
        <f>A7*สมมติฐาน!$B$10</f>
        <v/>
      </c>
      <c r="E7" s="5">
        <f>สมมติฐาน!$B$6*B7+สมมติฐาน!$B$8*C7</f>
        <v/>
      </c>
      <c r="F7" s="5">
        <f>E7+D7</f>
        <v/>
      </c>
      <c r="G7" s="5">
        <f>E7*สมมติฐาน!$B$11+D7</f>
        <v/>
      </c>
      <c r="H7" s="5">
        <f>$G$4-G7</f>
        <v/>
      </c>
      <c r="I7" s="5">
        <f>A7*สมมติฐาน!$B$12</f>
        <v/>
      </c>
      <c r="J7" s="5">
        <f>A7*สมมติฐาน!$B$13</f>
        <v/>
      </c>
      <c r="K7" s="5">
        <f>A7*สมมติฐาน!$B$14</f>
        <v/>
      </c>
      <c r="L7" s="5">
        <f>(สมมติฐาน!$B$6*I7+สมมติฐาน!$B$8*J7)*สมมติฐาน!$B$11+K7</f>
        <v/>
      </c>
      <c r="M7" s="5">
        <f>$G$4-L7</f>
        <v/>
      </c>
    </row>
    <row r="8">
      <c r="A8" s="17" t="n">
        <v>14</v>
      </c>
      <c r="B8" s="5">
        <f>A8*สมมติฐาน!$B$7</f>
        <v/>
      </c>
      <c r="C8" s="5">
        <f>A8*สมมติฐาน!$B$9</f>
        <v/>
      </c>
      <c r="D8" s="5">
        <f>A8*สมมติฐาน!$B$10</f>
        <v/>
      </c>
      <c r="E8" s="5">
        <f>สมมติฐาน!$B$6*B8+สมมติฐาน!$B$8*C8</f>
        <v/>
      </c>
      <c r="F8" s="5">
        <f>E8+D8</f>
        <v/>
      </c>
      <c r="G8" s="5">
        <f>E8*สมมติฐาน!$B$11+D8</f>
        <v/>
      </c>
      <c r="H8" s="5">
        <f>$G$4-G8</f>
        <v/>
      </c>
      <c r="I8" s="5">
        <f>A8*สมมติฐาน!$B$12</f>
        <v/>
      </c>
      <c r="J8" s="5">
        <f>A8*สมมติฐาน!$B$13</f>
        <v/>
      </c>
      <c r="K8" s="5">
        <f>A8*สมมติฐาน!$B$14</f>
        <v/>
      </c>
      <c r="L8" s="5">
        <f>(สมมติฐาน!$B$6*I8+สมมติฐาน!$B$8*J8)*สมมติฐาน!$B$11+K8</f>
        <v/>
      </c>
      <c r="M8" s="5">
        <f>$G$4-L8</f>
        <v/>
      </c>
    </row>
    <row r="9">
      <c r="A9" s="17" t="n">
        <v>13</v>
      </c>
      <c r="B9" s="5">
        <f>A9*สมมติฐาน!$B$7</f>
        <v/>
      </c>
      <c r="C9" s="5">
        <f>A9*สมมติฐาน!$B$9</f>
        <v/>
      </c>
      <c r="D9" s="5">
        <f>A9*สมมติฐาน!$B$10</f>
        <v/>
      </c>
      <c r="E9" s="5">
        <f>สมมติฐาน!$B$6*B9+สมมติฐาน!$B$8*C9</f>
        <v/>
      </c>
      <c r="F9" s="5">
        <f>E9+D9</f>
        <v/>
      </c>
      <c r="G9" s="5">
        <f>E9*สมมติฐาน!$B$11+D9</f>
        <v/>
      </c>
      <c r="H9" s="5">
        <f>$G$4-G9</f>
        <v/>
      </c>
      <c r="I9" s="5">
        <f>A9*สมมติฐาน!$B$12</f>
        <v/>
      </c>
      <c r="J9" s="5">
        <f>A9*สมมติฐาน!$B$13</f>
        <v/>
      </c>
      <c r="K9" s="5">
        <f>A9*สมมติฐาน!$B$14</f>
        <v/>
      </c>
      <c r="L9" s="5">
        <f>(สมมติฐาน!$B$6*I9+สมมติฐาน!$B$8*J9)*สมมติฐาน!$B$11+K9</f>
        <v/>
      </c>
      <c r="M9" s="5">
        <f>$G$4-L9</f>
        <v/>
      </c>
    </row>
    <row r="10">
      <c r="A10" s="17" t="n">
        <v>12</v>
      </c>
      <c r="B10" s="5">
        <f>A10*สมมติฐาน!$B$7</f>
        <v/>
      </c>
      <c r="C10" s="5">
        <f>A10*สมมติฐาน!$B$9</f>
        <v/>
      </c>
      <c r="D10" s="5">
        <f>A10*สมมติฐาน!$B$10</f>
        <v/>
      </c>
      <c r="E10" s="5">
        <f>สมมติฐาน!$B$6*B10+สมมติฐาน!$B$8*C10</f>
        <v/>
      </c>
      <c r="F10" s="5">
        <f>E10+D10</f>
        <v/>
      </c>
      <c r="G10" s="5">
        <f>E10*สมมติฐาน!$B$11+D10</f>
        <v/>
      </c>
      <c r="H10" s="5">
        <f>$G$4-G10</f>
        <v/>
      </c>
      <c r="I10" s="5">
        <f>A10*สมมติฐาน!$B$12</f>
        <v/>
      </c>
      <c r="J10" s="5">
        <f>A10*สมมติฐาน!$B$13</f>
        <v/>
      </c>
      <c r="K10" s="5">
        <f>A10*สมมติฐาน!$B$14</f>
        <v/>
      </c>
      <c r="L10" s="5">
        <f>(สมมติฐาน!$B$6*I10+สมมติฐาน!$B$8*J10)*สมมติฐาน!$B$11+K10</f>
        <v/>
      </c>
      <c r="M10" s="5">
        <f>$G$4-L10</f>
        <v/>
      </c>
    </row>
    <row r="11">
      <c r="A11" s="17" t="n">
        <v>11</v>
      </c>
      <c r="B11" s="5">
        <f>A11*สมมติฐาน!$B$7</f>
        <v/>
      </c>
      <c r="C11" s="5">
        <f>A11*สมมติฐาน!$B$9</f>
        <v/>
      </c>
      <c r="D11" s="5">
        <f>A11*สมมติฐาน!$B$10</f>
        <v/>
      </c>
      <c r="E11" s="5">
        <f>สมมติฐาน!$B$6*B11+สมมติฐาน!$B$8*C11</f>
        <v/>
      </c>
      <c r="F11" s="5">
        <f>E11+D11</f>
        <v/>
      </c>
      <c r="G11" s="5">
        <f>E11*สมมติฐาน!$B$11+D11</f>
        <v/>
      </c>
      <c r="H11" s="5">
        <f>$G$4-G11</f>
        <v/>
      </c>
      <c r="I11" s="5">
        <f>A11*สมมติฐาน!$B$12</f>
        <v/>
      </c>
      <c r="J11" s="5">
        <f>A11*สมมติฐาน!$B$13</f>
        <v/>
      </c>
      <c r="K11" s="5">
        <f>A11*สมมติฐาน!$B$14</f>
        <v/>
      </c>
      <c r="L11" s="5">
        <f>(สมมติฐาน!$B$6*I11+สมมติฐาน!$B$8*J11)*สมมติฐาน!$B$11+K11</f>
        <v/>
      </c>
      <c r="M11" s="5">
        <f>$G$4-L11</f>
        <v/>
      </c>
    </row>
    <row r="12">
      <c r="A12" s="17" t="n">
        <v>10</v>
      </c>
      <c r="B12" s="5">
        <f>A12*สมมติฐาน!$B$7</f>
        <v/>
      </c>
      <c r="C12" s="5">
        <f>A12*สมมติฐาน!$B$9</f>
        <v/>
      </c>
      <c r="D12" s="5">
        <f>A12*สมมติฐาน!$B$10</f>
        <v/>
      </c>
      <c r="E12" s="5">
        <f>สมมติฐาน!$B$6*B12+สมมติฐาน!$B$8*C12</f>
        <v/>
      </c>
      <c r="F12" s="5">
        <f>E12+D12</f>
        <v/>
      </c>
      <c r="G12" s="5">
        <f>E12*สมมติฐาน!$B$11+D12</f>
        <v/>
      </c>
      <c r="H12" s="5">
        <f>$G$4-G12</f>
        <v/>
      </c>
      <c r="I12" s="5">
        <f>A12*สมมติฐาน!$B$12</f>
        <v/>
      </c>
      <c r="J12" s="5">
        <f>A12*สมมติฐาน!$B$13</f>
        <v/>
      </c>
      <c r="K12" s="5">
        <f>A12*สมมติฐาน!$B$14</f>
        <v/>
      </c>
      <c r="L12" s="5">
        <f>(สมมติฐาน!$B$6*I12+สมมติฐาน!$B$8*J12)*สมมติฐาน!$B$11+K12</f>
        <v/>
      </c>
      <c r="M12" s="5">
        <f>$G$4-L12</f>
        <v/>
      </c>
    </row>
    <row r="13">
      <c r="A13" s="17" t="n">
        <v>9</v>
      </c>
      <c r="B13" s="5">
        <f>A13*สมมติฐาน!$B$7</f>
        <v/>
      </c>
      <c r="C13" s="5">
        <f>A13*สมมติฐาน!$B$9</f>
        <v/>
      </c>
      <c r="D13" s="5">
        <f>A13*สมมติฐาน!$B$10</f>
        <v/>
      </c>
      <c r="E13" s="5">
        <f>สมมติฐาน!$B$6*B13+สมมติฐาน!$B$8*C13</f>
        <v/>
      </c>
      <c r="F13" s="5">
        <f>E13+D13</f>
        <v/>
      </c>
      <c r="G13" s="5">
        <f>E13*สมมติฐาน!$B$11+D13</f>
        <v/>
      </c>
      <c r="H13" s="5">
        <f>$G$4-G13</f>
        <v/>
      </c>
      <c r="I13" s="5">
        <f>A13*สมมติฐาน!$B$12</f>
        <v/>
      </c>
      <c r="J13" s="5">
        <f>A13*สมมติฐาน!$B$13</f>
        <v/>
      </c>
      <c r="K13" s="5">
        <f>A13*สมมติฐาน!$B$14</f>
        <v/>
      </c>
      <c r="L13" s="5">
        <f>(สมมติฐาน!$B$6*I13+สมมติฐาน!$B$8*J13)*สมมติฐาน!$B$11+K13</f>
        <v/>
      </c>
      <c r="M13" s="5">
        <f>$G$4-L13</f>
        <v/>
      </c>
    </row>
    <row r="14">
      <c r="A14" s="17" t="n">
        <v>8</v>
      </c>
      <c r="B14" s="5">
        <f>A14*สมมติฐาน!$B$7</f>
        <v/>
      </c>
      <c r="C14" s="5">
        <f>A14*สมมติฐาน!$B$9</f>
        <v/>
      </c>
      <c r="D14" s="5">
        <f>A14*สมมติฐาน!$B$10</f>
        <v/>
      </c>
      <c r="E14" s="5">
        <f>สมมติฐาน!$B$6*B14+สมมติฐาน!$B$8*C14</f>
        <v/>
      </c>
      <c r="F14" s="5">
        <f>E14+D14</f>
        <v/>
      </c>
      <c r="G14" s="5">
        <f>E14*สมมติฐาน!$B$11+D14</f>
        <v/>
      </c>
      <c r="H14" s="5">
        <f>$G$4-G14</f>
        <v/>
      </c>
      <c r="I14" s="5">
        <f>A14*สมมติฐาน!$B$12</f>
        <v/>
      </c>
      <c r="J14" s="5">
        <f>A14*สมมติฐาน!$B$13</f>
        <v/>
      </c>
      <c r="K14" s="5">
        <f>A14*สมมติฐาน!$B$14</f>
        <v/>
      </c>
      <c r="L14" s="5">
        <f>(สมมติฐาน!$B$6*I14+สมมติฐาน!$B$8*J14)*สมมติฐาน!$B$11+K14</f>
        <v/>
      </c>
      <c r="M14" s="5">
        <f>$G$4-L14</f>
        <v/>
      </c>
    </row>
    <row r="15">
      <c r="A15" s="17" t="n">
        <v>7</v>
      </c>
      <c r="B15" s="5">
        <f>A15*สมมติฐาน!$B$7</f>
        <v/>
      </c>
      <c r="C15" s="5">
        <f>A15*สมมติฐาน!$B$9</f>
        <v/>
      </c>
      <c r="D15" s="5">
        <f>A15*สมมติฐาน!$B$10</f>
        <v/>
      </c>
      <c r="E15" s="5">
        <f>สมมติฐาน!$B$6*B15+สมมติฐาน!$B$8*C15</f>
        <v/>
      </c>
      <c r="F15" s="5">
        <f>E15+D15</f>
        <v/>
      </c>
      <c r="G15" s="5">
        <f>E15*สมมติฐาน!$B$11+D15</f>
        <v/>
      </c>
      <c r="H15" s="5">
        <f>$G$4-G15</f>
        <v/>
      </c>
      <c r="I15" s="5">
        <f>A15*สมมติฐาน!$B$12</f>
        <v/>
      </c>
      <c r="J15" s="5">
        <f>A15*สมมติฐาน!$B$13</f>
        <v/>
      </c>
      <c r="K15" s="5">
        <f>A15*สมมติฐาน!$B$14</f>
        <v/>
      </c>
      <c r="L15" s="5">
        <f>(สมมติฐาน!$B$6*I15+สมมติฐาน!$B$8*J15)*สมมติฐาน!$B$11+K15</f>
        <v/>
      </c>
      <c r="M15" s="5">
        <f>$G$4-L15</f>
        <v/>
      </c>
    </row>
    <row r="16">
      <c r="A16" s="17" t="n">
        <v>6</v>
      </c>
      <c r="B16" s="5">
        <f>A16*สมมติฐาน!$B$7</f>
        <v/>
      </c>
      <c r="C16" s="5">
        <f>A16*สมมติฐาน!$B$9</f>
        <v/>
      </c>
      <c r="D16" s="5">
        <f>A16*สมมติฐาน!$B$10</f>
        <v/>
      </c>
      <c r="E16" s="5">
        <f>สมมติฐาน!$B$6*B16+สมมติฐาน!$B$8*C16</f>
        <v/>
      </c>
      <c r="F16" s="5">
        <f>E16+D16</f>
        <v/>
      </c>
      <c r="G16" s="5">
        <f>E16*สมมติฐาน!$B$11+D16</f>
        <v/>
      </c>
      <c r="H16" s="5">
        <f>$G$4-G16</f>
        <v/>
      </c>
      <c r="I16" s="5">
        <f>A16*สมมติฐาน!$B$12</f>
        <v/>
      </c>
      <c r="J16" s="5">
        <f>A16*สมมติฐาน!$B$13</f>
        <v/>
      </c>
      <c r="K16" s="5">
        <f>A16*สมมติฐาน!$B$14</f>
        <v/>
      </c>
      <c r="L16" s="5">
        <f>(สมมติฐาน!$B$6*I16+สมมติฐาน!$B$8*J16)*สมมติฐาน!$B$11+K16</f>
        <v/>
      </c>
      <c r="M16" s="5">
        <f>$G$4-L16</f>
        <v/>
      </c>
    </row>
    <row r="17">
      <c r="A17" s="17" t="n">
        <v>5</v>
      </c>
      <c r="B17" s="5">
        <f>A17*สมมติฐาน!$B$7</f>
        <v/>
      </c>
      <c r="C17" s="5">
        <f>A17*สมมติฐาน!$B$9</f>
        <v/>
      </c>
      <c r="D17" s="5">
        <f>A17*สมมติฐาน!$B$10</f>
        <v/>
      </c>
      <c r="E17" s="5">
        <f>สมมติฐาน!$B$6*B17+สมมติฐาน!$B$8*C17</f>
        <v/>
      </c>
      <c r="F17" s="5">
        <f>E17+D17</f>
        <v/>
      </c>
      <c r="G17" s="5">
        <f>E17*สมมติฐาน!$B$11+D17</f>
        <v/>
      </c>
      <c r="H17" s="5">
        <f>$G$4-G17</f>
        <v/>
      </c>
      <c r="I17" s="5">
        <f>A17*สมมติฐาน!$B$12</f>
        <v/>
      </c>
      <c r="J17" s="5">
        <f>A17*สมมติฐาน!$B$13</f>
        <v/>
      </c>
      <c r="K17" s="5">
        <f>A17*สมมติฐาน!$B$14</f>
        <v/>
      </c>
      <c r="L17" s="5">
        <f>(สมมติฐาน!$B$6*I17+สมมติฐาน!$B$8*J17)*สมมติฐาน!$B$11+K17</f>
        <v/>
      </c>
      <c r="M17" s="5">
        <f>$G$4-L17</f>
        <v/>
      </c>
    </row>
    <row r="18">
      <c r="A18" s="17" t="n">
        <v>4</v>
      </c>
      <c r="B18" s="5">
        <f>A18*สมมติฐาน!$B$7</f>
        <v/>
      </c>
      <c r="C18" s="5">
        <f>A18*สมมติฐาน!$B$9</f>
        <v/>
      </c>
      <c r="D18" s="5">
        <f>A18*สมมติฐาน!$B$10</f>
        <v/>
      </c>
      <c r="E18" s="5">
        <f>สมมติฐาน!$B$6*B18+สมมติฐาน!$B$8*C18</f>
        <v/>
      </c>
      <c r="F18" s="5">
        <f>E18+D18</f>
        <v/>
      </c>
      <c r="G18" s="5">
        <f>E18*สมมติฐาน!$B$11+D18</f>
        <v/>
      </c>
      <c r="H18" s="5">
        <f>$G$4-G18</f>
        <v/>
      </c>
      <c r="I18" s="5">
        <f>A18*สมมติฐาน!$B$12</f>
        <v/>
      </c>
      <c r="J18" s="5">
        <f>A18*สมมติฐาน!$B$13</f>
        <v/>
      </c>
      <c r="K18" s="5">
        <f>A18*สมมติฐาน!$B$14</f>
        <v/>
      </c>
      <c r="L18" s="5">
        <f>(สมมติฐาน!$B$6*I18+สมมติฐาน!$B$8*J18)*สมมติฐาน!$B$11+K18</f>
        <v/>
      </c>
      <c r="M18" s="5">
        <f>$G$4-L18</f>
        <v/>
      </c>
    </row>
    <row r="19">
      <c r="A19" s="17" t="n">
        <v>3</v>
      </c>
      <c r="B19" s="5">
        <f>A19*สมมติฐาน!$B$7</f>
        <v/>
      </c>
      <c r="C19" s="5">
        <f>A19*สมมติฐาน!$B$9</f>
        <v/>
      </c>
      <c r="D19" s="5">
        <f>A19*สมมติฐาน!$B$10</f>
        <v/>
      </c>
      <c r="E19" s="5">
        <f>สมมติฐาน!$B$6*B19+สมมติฐาน!$B$8*C19</f>
        <v/>
      </c>
      <c r="F19" s="5">
        <f>E19+D19</f>
        <v/>
      </c>
      <c r="G19" s="5">
        <f>E19*สมมติฐาน!$B$11+D19</f>
        <v/>
      </c>
      <c r="H19" s="5">
        <f>$G$4-G19</f>
        <v/>
      </c>
      <c r="I19" s="5">
        <f>A19*สมมติฐาน!$B$12</f>
        <v/>
      </c>
      <c r="J19" s="5">
        <f>A19*สมมติฐาน!$B$13</f>
        <v/>
      </c>
      <c r="K19" s="5">
        <f>A19*สมมติฐาน!$B$14</f>
        <v/>
      </c>
      <c r="L19" s="5">
        <f>(สมมติฐาน!$B$6*I19+สมมติฐาน!$B$8*J19)*สมมติฐาน!$B$11+K19</f>
        <v/>
      </c>
      <c r="M19" s="5">
        <f>$G$4-L19</f>
        <v/>
      </c>
    </row>
    <row r="20">
      <c r="A20" s="17" t="n">
        <v>2</v>
      </c>
      <c r="B20" s="5">
        <f>A20*สมมติฐาน!$B$7</f>
        <v/>
      </c>
      <c r="C20" s="5">
        <f>A20*สมมติฐาน!$B$9</f>
        <v/>
      </c>
      <c r="D20" s="5">
        <f>A20*สมมติฐาน!$B$10</f>
        <v/>
      </c>
      <c r="E20" s="5">
        <f>สมมติฐาน!$B$6*B20+สมมติฐาน!$B$8*C20</f>
        <v/>
      </c>
      <c r="F20" s="5">
        <f>E20+D20</f>
        <v/>
      </c>
      <c r="G20" s="5">
        <f>E20*สมมติฐาน!$B$11+D20</f>
        <v/>
      </c>
      <c r="H20" s="5">
        <f>$G$4-G20</f>
        <v/>
      </c>
      <c r="I20" s="5">
        <f>A20*สมมติฐาน!$B$12</f>
        <v/>
      </c>
      <c r="J20" s="5">
        <f>A20*สมมติฐาน!$B$13</f>
        <v/>
      </c>
      <c r="K20" s="5">
        <f>A20*สมมติฐาน!$B$14</f>
        <v/>
      </c>
      <c r="L20" s="5">
        <f>(สมมติฐาน!$B$6*I20+สมมติฐาน!$B$8*J20)*สมมติฐาน!$B$11+K20</f>
        <v/>
      </c>
      <c r="M20" s="5">
        <f>$G$4-L20</f>
        <v/>
      </c>
    </row>
    <row r="21">
      <c r="A21" s="17" t="n">
        <v>1</v>
      </c>
      <c r="B21" s="5">
        <f>A21*สมมติฐาน!$B$7</f>
        <v/>
      </c>
      <c r="C21" s="5">
        <f>A21*สมมติฐาน!$B$9</f>
        <v/>
      </c>
      <c r="D21" s="5">
        <f>A21*สมมติฐาน!$B$10</f>
        <v/>
      </c>
      <c r="E21" s="5">
        <f>สมมติฐาน!$B$6*B21+สมมติฐาน!$B$8*C21</f>
        <v/>
      </c>
      <c r="F21" s="5">
        <f>E21+D21</f>
        <v/>
      </c>
      <c r="G21" s="5">
        <f>E21*สมมติฐาน!$B$11+D21</f>
        <v/>
      </c>
      <c r="H21" s="5">
        <f>$G$4-G21</f>
        <v/>
      </c>
      <c r="I21" s="5">
        <f>A21*สมมติฐาน!$B$12</f>
        <v/>
      </c>
      <c r="J21" s="5">
        <f>A21*สมมติฐาน!$B$13</f>
        <v/>
      </c>
      <c r="K21" s="5">
        <f>A21*สมมติฐาน!$B$14</f>
        <v/>
      </c>
      <c r="L21" s="5">
        <f>(สมมติฐาน!$B$6*I21+สมมติฐาน!$B$8*J21)*สมมติฐาน!$B$11+K21</f>
        <v/>
      </c>
      <c r="M21" s="5">
        <f>$G$4-L21</f>
        <v/>
      </c>
    </row>
    <row r="22">
      <c r="A22" s="17" t="n">
        <v>0</v>
      </c>
      <c r="B22" s="5">
        <f>A22*สมมติฐาน!$B$7</f>
        <v/>
      </c>
      <c r="C22" s="5">
        <f>A22*สมมติฐาน!$B$9</f>
        <v/>
      </c>
      <c r="D22" s="5">
        <f>A22*สมมติฐาน!$B$10</f>
        <v/>
      </c>
      <c r="E22" s="5">
        <f>สมมติฐาน!$B$6*B22+สมมติฐาน!$B$8*C22</f>
        <v/>
      </c>
      <c r="F22" s="5">
        <f>E22+D22</f>
        <v/>
      </c>
      <c r="G22" s="5">
        <f>E22*สมมติฐาน!$B$11+D22</f>
        <v/>
      </c>
      <c r="H22" s="5">
        <f>$G$4-G22</f>
        <v/>
      </c>
      <c r="I22" s="5">
        <f>A22*สมมติฐาน!$B$12</f>
        <v/>
      </c>
      <c r="J22" s="5">
        <f>A22*สมมติฐาน!$B$13</f>
        <v/>
      </c>
      <c r="K22" s="5">
        <f>A22*สมมติฐาน!$B$14</f>
        <v/>
      </c>
      <c r="L22" s="5">
        <f>(สมมติฐาน!$B$6*I22+สมมติฐาน!$B$8*J22)*สมมติฐาน!$B$11+K22</f>
        <v/>
      </c>
      <c r="M22" s="5">
        <f>$G$4-L22</f>
        <v/>
      </c>
    </row>
    <row r="24">
      <c r="A24" s="6" t="inlineStr">
        <is>
          <t>ส่วนต่างที่เกิดได้เมื่อขาดคน (ลดลงต่อครั้ง)</t>
        </is>
      </c>
    </row>
    <row r="25">
      <c r="A25" s="2" t="inlineStr">
        <is>
          <t>กรณี</t>
        </is>
      </c>
      <c r="B25" s="2" t="n"/>
      <c r="C25" s="2" t="n"/>
      <c r="D25" s="2" t="n"/>
      <c r="E25" s="2" t="n"/>
      <c r="F25" s="2" t="n"/>
      <c r="G25" s="2" t="inlineStr">
        <is>
          <t>ตามราคาตั้งงบ (บาท)</t>
        </is>
      </c>
      <c r="H25" s="2" t="n"/>
      <c r="I25" s="2" t="n"/>
      <c r="J25" s="2" t="n"/>
      <c r="K25" s="2" t="n"/>
      <c r="L25" s="2" t="inlineStr">
        <is>
          <t>ตามราคาจริง (บาท)</t>
        </is>
      </c>
    </row>
    <row r="26">
      <c r="A26" s="5" t="inlineStr">
        <is>
          <t>ขาด 1 คน ในอาหารว่าง 1 มื้อ</t>
        </is>
      </c>
      <c r="B26" s="5" t="n"/>
      <c r="C26" s="5" t="n"/>
      <c r="D26" s="5" t="n"/>
      <c r="E26" s="5" t="n"/>
      <c r="F26" s="5" t="n"/>
      <c r="G26" s="5">
        <f>สมมติฐาน!$B$7</f>
        <v/>
      </c>
      <c r="H26" s="5" t="n"/>
      <c r="I26" s="5" t="n"/>
      <c r="J26" s="5" t="n"/>
      <c r="K26" s="5" t="n"/>
      <c r="L26" s="5">
        <f>สมมติฐาน!$B$12</f>
        <v/>
      </c>
    </row>
    <row r="27">
      <c r="A27" s="5" t="inlineStr">
        <is>
          <t>ขาด 1 คน ในอาหารกลางวัน 1 มื้อ</t>
        </is>
      </c>
      <c r="B27" s="5" t="n"/>
      <c r="C27" s="5" t="n"/>
      <c r="D27" s="5" t="n"/>
      <c r="E27" s="5" t="n"/>
      <c r="F27" s="5" t="n"/>
      <c r="G27" s="5">
        <f>สมมติฐาน!$B$9</f>
        <v/>
      </c>
      <c r="H27" s="5" t="n"/>
      <c r="I27" s="5" t="n"/>
      <c r="J27" s="5" t="n"/>
      <c r="K27" s="5" t="n"/>
      <c r="L27" s="5">
        <f>สมมติฐาน!$B$13</f>
        <v/>
      </c>
    </row>
    <row r="28">
      <c r="A28" s="5" t="inlineStr">
        <is>
          <t>ขาด 1 คน ในอาหารเย็น (24 ต.ค.)</t>
        </is>
      </c>
      <c r="B28" s="5" t="n"/>
      <c r="C28" s="5" t="n"/>
      <c r="D28" s="5" t="n"/>
      <c r="E28" s="5" t="n"/>
      <c r="F28" s="5" t="n"/>
      <c r="G28" s="5">
        <f>สมมติฐาน!$B$10</f>
        <v/>
      </c>
      <c r="H28" s="5" t="n"/>
      <c r="I28" s="5" t="n"/>
      <c r="J28" s="5" t="n"/>
      <c r="K28" s="5" t="n"/>
      <c r="L28" s="5">
        <f>สมมติฐาน!$B$14</f>
        <v/>
      </c>
    </row>
    <row r="29">
      <c r="A29" s="5" t="inlineStr">
        <is>
          <t>ขาด 1 คน ทั้งวัน (วันปกติ)</t>
        </is>
      </c>
      <c r="B29" s="5" t="n"/>
      <c r="C29" s="5" t="n"/>
      <c r="D29" s="5" t="n"/>
      <c r="E29" s="5" t="n"/>
      <c r="F29" s="5" t="n"/>
      <c r="G29" s="5">
        <f>E21</f>
        <v/>
      </c>
      <c r="H29" s="5" t="n"/>
      <c r="I29" s="5" t="n"/>
      <c r="J29" s="5" t="n"/>
      <c r="K29" s="5" t="n"/>
      <c r="L29" s="5">
        <f>สมมติฐาน!$B$6*I21+สมมติฐาน!$B$8*J21</f>
        <v/>
      </c>
    </row>
    <row r="30">
      <c r="A30" s="5" t="inlineStr">
        <is>
          <t>ขาด 1 คน ทั้งวัน 24 ต.ค.</t>
        </is>
      </c>
      <c r="B30" s="5" t="n"/>
      <c r="C30" s="5" t="n"/>
      <c r="D30" s="5" t="n"/>
      <c r="E30" s="5" t="n"/>
      <c r="F30" s="5" t="n"/>
      <c r="G30" s="5">
        <f>F21</f>
        <v/>
      </c>
      <c r="H30" s="5" t="n"/>
      <c r="I30" s="5" t="n"/>
      <c r="J30" s="5" t="n"/>
      <c r="K30" s="5" t="n"/>
      <c r="L30" s="5">
        <f>สมมติฐาน!$B$6*I21+สมมติฐาน!$B$8*J21+K21</f>
        <v/>
      </c>
    </row>
    <row r="31">
      <c r="A31" s="5" t="inlineStr">
        <is>
          <t>ขาด 1 คน ตลอดทั้งโครงการ</t>
        </is>
      </c>
      <c r="B31" s="5" t="n"/>
      <c r="C31" s="5" t="n"/>
      <c r="D31" s="5" t="n"/>
      <c r="E31" s="5" t="n"/>
      <c r="F31" s="5" t="n"/>
      <c r="G31" s="5">
        <f>G21</f>
        <v/>
      </c>
      <c r="H31" s="5" t="n"/>
      <c r="I31" s="5" t="n"/>
      <c r="J31" s="5" t="n"/>
      <c r="K31" s="5" t="n"/>
      <c r="L31" s="5">
        <f>L21</f>
        <v/>
      </c>
    </row>
    <row r="33">
      <c r="A33" s="14" t="inlineStr">
        <is>
          <t>• ราคาตั้งงบ: ทุกราคาเป็นทวีคูณของ 50 บาท ยอดจึงเป็นได้ตั้งแต่ 0 ถึงงบเต็ม ทีละ 50 บาท</t>
        </is>
      </c>
    </row>
    <row r="34">
      <c r="A34" s="14" t="inlineStr">
        <is>
          <t>• ราคาจริง: ราคาเป็นทวีคูณของ 5 บาท (40, 55) ยอดจ่ายจริงจึงขยับทีละ 5 บาท</t>
        </is>
      </c>
    </row>
    <row r="35">
      <c r="A35" s="14" t="inlineStr">
        <is>
          <t>• ส่วนต่างจากงบเต็มในคอลัมน์ M = งบเต็ม (18 คน ราคาตั้งงบ) − จ่ายจริงตามจำนวนคน</t>
        </is>
      </c>
    </row>
    <row r="36">
      <c r="A36" s="18" t="inlineStr">
        <is>
          <t>จำนวนยอดงบที่เป็นไปได้ตามราคาตั้งงบ (กรณี)</t>
        </is>
      </c>
      <c r="B36" s="18" t="n"/>
      <c r="C36" s="18" t="n"/>
      <c r="D36" s="18" t="n"/>
      <c r="E36" s="18" t="n"/>
      <c r="F36" s="18" t="n"/>
      <c r="G36" s="18">
        <f>G4/สมมติฐาน!$B$7+1</f>
        <v/>
      </c>
    </row>
  </sheetData>
  <mergeCells count="8">
    <mergeCell ref="B2:G2"/>
    <mergeCell ref="I2:L2"/>
    <mergeCell ref="A26:F26"/>
    <mergeCell ref="A27:F27"/>
    <mergeCell ref="A28:F28"/>
    <mergeCell ref="A29:F29"/>
    <mergeCell ref="A30:F30"/>
    <mergeCell ref="A31:F3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2026-10-23T13:54:30Z</dcterms:created>
  <dcterms:modified xmlns:dcterms="http://purl.org/dc/terms/" xmlns:xsi="http://www.w3.org/2001/XMLSchema-instance" xsi:type="dcterms:W3CDTF">2026-10-23T13:54:30Z</dcterms:modified>
</cp:coreProperties>
</file>